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Новая папка (2)\"/>
    </mc:Choice>
  </mc:AlternateContent>
  <bookViews>
    <workbookView xWindow="0" yWindow="0" windowWidth="25770" windowHeight="17700"/>
  </bookViews>
  <sheets>
    <sheet name="Математика" sheetId="1" r:id="rId1"/>
    <sheet name="Кредит" sheetId="2" r:id="rId2"/>
    <sheet name="Отчёт" sheetId="3" r:id="rId3"/>
  </sheets>
  <calcPr calcId="162913"/>
</workbook>
</file>

<file path=xl/calcChain.xml><?xml version="1.0" encoding="utf-8"?>
<calcChain xmlns="http://schemas.openxmlformats.org/spreadsheetml/2006/main">
  <c r="A7" i="2" l="1"/>
  <c r="A5" i="2"/>
  <c r="A4" i="2"/>
  <c r="A6" i="2" s="1"/>
  <c r="Z10" i="1"/>
  <c r="Z8" i="1"/>
  <c r="X8" i="1"/>
  <c r="I8" i="1"/>
  <c r="G8" i="1"/>
  <c r="H8" i="1" s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G6" i="1"/>
  <c r="H6" i="1" s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<sst xmlns="http://schemas.openxmlformats.org/spreadsheetml/2006/main" count="58" uniqueCount="58">
  <si>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</si>
  <si>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</si>
  <si>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</si>
  <si>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</si>
  <si>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</si>
  <si>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</si>
  <si>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</si>
  <si>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</si>
  <si>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|m-3|</t>
  </si>
  <si>
    <t>Норма массы (кг):</t>
  </si>
  <si>
    <t>№ п/п</t>
  </si>
  <si>
    <t>Начальная сумма, руб.:</t>
  </si>
  <si>
    <t>Угол α, град.:</t>
  </si>
  <si>
    <t>Длина дуги</t>
  </si>
  <si>
    <t>Дуга через RADIANS</t>
  </si>
  <si>
    <t>Общая масса всех деталей</t>
  </si>
  <si>
    <t>Ставка годовая:</t>
  </si>
  <si>
    <t>Масса деталей &gt; 2 кг</t>
  </si>
  <si>
    <t>Срок, лет:</t>
  </si>
  <si>
    <t>Средневзвешенная масса</t>
  </si>
  <si>
    <t>Сумма через степень (1+r)^n:</t>
  </si>
  <si>
    <t>Количество деталей &gt; 2 кг</t>
  </si>
  <si>
    <t>Сумма через EXP (непрерывное начисление):</t>
  </si>
  <si>
    <t>Средняя масса</t>
  </si>
  <si>
    <t>Срок удвоения (правило 72):</t>
  </si>
  <si>
    <t>Максимальная масса</t>
  </si>
  <si>
    <t>Срок удвоения (точный, через ЛН):</t>
  </si>
  <si>
    <t>Минимальная масса</t>
  </si>
  <si>
    <t>Обратное преобразование (radians-&gt;degrees):</t>
  </si>
  <si>
    <t>Сумма кредита, руб.</t>
  </si>
  <si>
    <t>Годовая ставка</t>
  </si>
  <si>
    <t>Срок, лет</t>
  </si>
  <si>
    <t>Итоговая сумма к возврату (сложный % ежегодно)</t>
  </si>
  <si>
    <t>Итоговая сумма (непрерывное начисление, EXP)</t>
  </si>
  <si>
    <t>Переплата по кредиту (проценты), руб.</t>
  </si>
  <si>
    <t>Срок удвоения долга при данной ставке, лет</t>
  </si>
  <si>
    <t>Практическая работа №5. Математические функции в Excel</t>
  </si>
  <si>
    <t>1. Создан лист «Математика», в котором построена таблица «Инженерная ведомость деталей» (A1:E8).</t>
  </si>
  <si>
    <t>2. Заголовки оформлены: полужирный шрифт, синяя заливка, белый шрифт, выравнивание по центру; ко всей таблице применены границы «Все границы»; числовые значения выведены в формате «Числовой» с 1 знаком после запятой.</t>
  </si>
  <si>
    <t>3. Редактирование данных: масса детали №3 изменена с 3,8 на 4,0 кг. Данные детали №6 были удалены (Delete) и восстановлены комбинацией Ctrl+Z — итоговая таблица содержит корректные данные детали №6.</t>
  </si>
  <si>
    <t>4. В столбце N (тренировочный) продемонстрировано автозаполнение: значения 1 и 2 протянуты маркером заполнения вниз до 7 строки (№ п/п).</t>
  </si>
  <si>
    <t>5. Столбец F — «Диаметр (мм)»: формула =2*B2, протянута до F8.</t>
  </si>
  <si>
    <t>6. Столбец G — «Объем цилиндра (мм³)»: формула =ПИ()*СТЕПЕНЬ(B2;2)*C2 (в файле — английские имена функций PI/POWER, Excel отображает их согласно языку интерфейса).</t>
  </si>
  <si>
    <t>7. Столбец H — «Корень из объёма»: формула =КОРЕНЬ(G2).</t>
  </si>
  <si>
    <t>8. Ячейка K1 — норма массы (3 кг, абсолютная ссылка $K$1). Столбец I — модуль отклонения массы от нормы: =ABS(D2-$K$1).</t>
  </si>
  <si>
    <t>9. Финансовая задача «Сложный процент» (T1:T7): начальная сумма 100000 руб., ставка 12%, срок 5 лет.</t>
  </si>
  <si>
    <t xml:space="preserve">   T4 = T1*СТЕПЕНЬ(1+T2;T3) = 176 234,17 руб.</t>
  </si>
  <si>
    <t xml:space="preserve">   T5 = T1*ЭКСП(T2*T3) = 182 211,88 руб.</t>
  </si>
  <si>
    <t xml:space="preserve">   T6 = 72/(T2*100) = 6 лет (правило 72).</t>
  </si>
  <si>
    <t xml:space="preserve">   T7 = ЛН(2)/ЛН(1+T2) ≈ 6,12 лет (точный срок удвоения).</t>
  </si>
  <si>
    <t>10. Тригонометрия — расчёт длины дуги L = π·R·α/180 при угле 60°: столбец X (через ПИ()*B2*$Y$1/180) и столбец Z (через РАДИАНЫ) дают одинаковый результат — оба способа эквивалентны.</t>
  </si>
  <si>
    <t xml:space="preserve">    Обратное преобразование: в исходной методичке в ячейке Z10 указана формула =СТЕПЕНЬ(ПИ()/3), что является опечаткой — функция СТЕПЕНЬ требует два аргумента и не переводит радианы в градусы.</t>
  </si>
  <si>
    <t xml:space="preserve">    Верная формула для получения 60° из ПИ()/3 радиан — =ГРАДУСЫ(ПИ()/3) (DEGREES), именно она использована в файле.</t>
  </si>
  <si>
    <t>11. Суммирование с условием (AA1:AA7): общая масса, масса деталей &gt; 2 кг (СУММЕСЛИ), средневзвешенная масса (СУММПРОИЗВ/СУММ), количество деталей &gt; 2 кг (СЧЁТЕСЛИ), средняя/макс/мин масса (СРЗНАЧ/МАКС/МИН).</t>
  </si>
  <si>
    <t>12. Самостоятельная работа «Расчёт кредита» выполнена на листе «Кредит»: кредит 500 000 руб., ставка 18% годовых, срок 3 года.</t>
  </si>
  <si>
    <t xml:space="preserve">    Итоговая сумма к возврату = 500000*(1+0,18)^3 ≈ 821 812,86 руб.</t>
  </si>
  <si>
    <t xml:space="preserve">    Переплата по кредиту ≈ 321 812,86 руб.</t>
  </si>
  <si>
    <t xml:space="preserve">    Срок удвоения долга при ставке 18% ≈ 4,19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</si>
</sst>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i/>
      <sz val="11"/>
      <name val="Calibri"/>
      <family val="2"/>
      <charset val="204"/>
    </font>
    <font>
      <b/>
      <sz val="13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4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1" xfId="0" applyBorder="1" applyAlignment="1">
      <alignment horizontal="center" vertical="center"/>
    </xf>
    <xf numFmtId="9" fontId="0" fillId="0" borderId="0" xfId="0" applyNumberFormat="1"/>
    <xf numFmtId="1" fontId="0" fillId="0" borderId="1" xfId="0" applyNumberFormat="1" applyBorder="1" applyAlignment="1">
      <alignment horizontal="center" vertical="center"/>
    </xf>
    <xf numFmtId="4" fontId="2" fillId="0" borderId="0" xfId="0" applyNumberFormat="1" applyFont="1"/>
    <xf numFmtId="9" fontId="2" fillId="0" borderId="0" xfId="0" applyNumberFormat="1" applyFont="1"/>
    <xf numFmtId="2" fontId="2" fillId="0" borderId="0" xfId="0" applyNumberFormat="1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/>
  </sheetViews>
  <sheetFormatPr defaultRowHeight="15" x14ac:dyDescent="0.25"/>
  <cols>
    <col min="1" max="1" width="10" customWidth="1"/>
    <col min="2" max="3" width="14" customWidth="1"/>
    <col min="4" max="5" width="12" customWidth="1"/>
    <col min="6" max="7" width="13" customWidth="1"/>
    <col min="8" max="9" width="10" customWidth="1"/>
    <col min="10" max="10" width="16" customWidth="1"/>
    <col min="11" max="11" width="6" customWidth="1"/>
    <col min="14" max="14" width="8" customWidth="1"/>
    <col min="19" max="19" width="34" customWidth="1"/>
    <col min="20" max="20" width="14" customWidth="1"/>
    <col min="23" max="24" width="14" customWidth="1"/>
    <col min="25" max="25" width="10" customWidth="1"/>
    <col min="26" max="26" width="18" customWidth="1"/>
    <col min="27" max="27" width="14" customWidth="1"/>
    <col min="28" max="28" width="32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>
        <v>3</v>
      </c>
      <c r="N1" s="1" t="s">
        <v>10</v>
      </c>
      <c r="S1" s="2" t="s">
        <v>11</v>
      </c>
      <c r="T1" s="4">
        <v>100000</v>
      </c>
      <c r="W1" s="2" t="s">
        <v>12</v>
      </c>
      <c r="X1" s="1" t="s">
        <v>13</v>
      </c>
      <c r="Y1">
        <v>60</v>
      </c>
      <c r="Z1" s="1" t="s">
        <v>14</v>
      </c>
      <c r="AA1" s="5">
        <f>SUM(D2:D8)</f>
        <v>21.799999999999997</v>
      </c>
      <c r="AB1" s="6" t="s">
        <v>15</v>
      </c>
    </row>
    <row r="2" spans="1:28" x14ac:dyDescent="0.25">
      <c r="A2" s="7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N2" s="7">
        <v>1</v>
      </c>
      <c r="S2" s="2" t="s">
        <v>16</v>
      </c>
      <c r="T2" s="8">
        <v>0.12</v>
      </c>
      <c r="X2" s="3">
        <f t="shared" ref="X2:X8" si="4">PI()*B2*$Y$1/180</f>
        <v>13.089969389957471</v>
      </c>
      <c r="Z2" s="3">
        <f t="shared" ref="Z2:Z8" si="5">B2*RADIANS($Y$1)</f>
        <v>13.089969389957471</v>
      </c>
      <c r="AA2" s="5">
        <f>SUMIF(D2:D8,"&gt;2")</f>
        <v>18.100000000000001</v>
      </c>
      <c r="AB2" s="6" t="s">
        <v>17</v>
      </c>
    </row>
    <row r="3" spans="1:28" x14ac:dyDescent="0.25">
      <c r="A3" s="7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N3" s="7">
        <v>2</v>
      </c>
      <c r="S3" s="2" t="s">
        <v>18</v>
      </c>
      <c r="T3">
        <v>5</v>
      </c>
      <c r="X3" s="3">
        <f t="shared" si="4"/>
        <v>8.6917396749317621</v>
      </c>
      <c r="Z3" s="3">
        <f t="shared" si="5"/>
        <v>8.6917396749317604</v>
      </c>
      <c r="AA3" s="5">
        <f>SUMPRODUCT(D2:D8,E2:E8)/SUM(E2:E8)</f>
        <v>4.0744612928970474</v>
      </c>
      <c r="AB3" s="6" t="s">
        <v>19</v>
      </c>
    </row>
    <row r="4" spans="1:28" x14ac:dyDescent="0.25">
      <c r="A4" s="7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N4" s="7">
        <v>3</v>
      </c>
      <c r="S4" s="2" t="s">
        <v>20</v>
      </c>
      <c r="T4" s="4">
        <f>T1*POWER(1+T2,T3)</f>
        <v>176234.16832000006</v>
      </c>
      <c r="X4" s="3">
        <f t="shared" si="4"/>
        <v>16.441001553786581</v>
      </c>
      <c r="Z4" s="3">
        <f t="shared" si="5"/>
        <v>16.441001553786581</v>
      </c>
      <c r="AA4" s="5">
        <f>COUNTIF(D2:D8,"&gt;2")</f>
        <v>4</v>
      </c>
      <c r="AB4" s="6" t="s">
        <v>21</v>
      </c>
    </row>
    <row r="5" spans="1:28" x14ac:dyDescent="0.25">
      <c r="A5" s="7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N5" s="7">
        <v>4</v>
      </c>
      <c r="S5" s="2" t="s">
        <v>22</v>
      </c>
      <c r="T5" s="4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 s="5">
        <f>AVERAGE(D2:D8)</f>
        <v>3.1142857142857139</v>
      </c>
      <c r="AB5" s="6" t="s">
        <v>23</v>
      </c>
    </row>
    <row r="6" spans="1:28" x14ac:dyDescent="0.25">
      <c r="A6" s="7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N6" s="7">
        <v>5</v>
      </c>
      <c r="S6" s="2" t="s">
        <v>24</v>
      </c>
      <c r="T6" s="5">
        <f>72/(T2*100)</f>
        <v>6</v>
      </c>
      <c r="X6" s="3">
        <f t="shared" si="4"/>
        <v>21.048670779051616</v>
      </c>
      <c r="Z6" s="3">
        <f t="shared" si="5"/>
        <v>21.048670779051612</v>
      </c>
      <c r="AA6" s="5">
        <f>MAX(D2:D8)</f>
        <v>6.5</v>
      </c>
      <c r="AB6" s="6" t="s">
        <v>25</v>
      </c>
    </row>
    <row r="7" spans="1:28" x14ac:dyDescent="0.25">
      <c r="A7" s="7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N7" s="7">
        <v>6</v>
      </c>
      <c r="S7" s="2" t="s">
        <v>26</v>
      </c>
      <c r="T7" s="5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 s="5">
        <f>MIN(D2:D8)</f>
        <v>0.7</v>
      </c>
      <c r="AB7" s="6" t="s">
        <v>27</v>
      </c>
    </row>
    <row r="8" spans="1:28" x14ac:dyDescent="0.25">
      <c r="A8" s="7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N8" s="7">
        <v>7</v>
      </c>
      <c r="X8" s="3">
        <f t="shared" si="4"/>
        <v>19.792033717615695</v>
      </c>
      <c r="Z8" s="3">
        <f t="shared" si="5"/>
        <v>19.792033717615695</v>
      </c>
    </row>
    <row r="9" spans="1:28" x14ac:dyDescent="0.25">
      <c r="Y9" s="2" t="s">
        <v>28</v>
      </c>
    </row>
    <row r="10" spans="1:28" x14ac:dyDescent="0.25">
      <c r="Z10" s="9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6" customWidth="1"/>
    <col min="2" max="2" width="46" customWidth="1"/>
  </cols>
  <sheetData>
    <row r="1" spans="1:2" x14ac:dyDescent="0.25">
      <c r="A1" s="10">
        <v>500000</v>
      </c>
      <c r="B1" t="s">
        <v>29</v>
      </c>
    </row>
    <row r="2" spans="1:2" x14ac:dyDescent="0.25">
      <c r="A2" s="11">
        <v>0.18</v>
      </c>
      <c r="B2" t="s">
        <v>30</v>
      </c>
    </row>
    <row r="3" spans="1:2" x14ac:dyDescent="0.25">
      <c r="A3" s="2">
        <v>3</v>
      </c>
      <c r="B3" t="s">
        <v>31</v>
      </c>
    </row>
    <row r="4" spans="1:2" x14ac:dyDescent="0.25">
      <c r="A4" s="10">
        <f>A1*POWER(1+A2,A3)</f>
        <v>821515.99999999988</v>
      </c>
      <c r="B4" t="s">
        <v>32</v>
      </c>
    </row>
    <row r="5" spans="1:2" x14ac:dyDescent="0.25">
      <c r="A5" s="10">
        <f>A1*EXP(A2*A3)</f>
        <v>858003.43109242932</v>
      </c>
      <c r="B5" t="s">
        <v>33</v>
      </c>
    </row>
    <row r="6" spans="1:2" x14ac:dyDescent="0.25">
      <c r="A6" s="10">
        <f>A4-A1</f>
        <v>321515.99999999988</v>
      </c>
      <c r="B6" t="s">
        <v>34</v>
      </c>
    </row>
    <row r="7" spans="1:2" x14ac:dyDescent="0.25">
      <c r="A7" s="12">
        <f>LN(2)/LN(1+A2)</f>
        <v>4.1878351335123218</v>
      </c>
      <c r="B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130" customWidth="1"/>
  </cols>
  <sheetData>
    <row r="1" spans="1:1" ht="17.25" x14ac:dyDescent="0.3">
      <c r="A1" s="13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Математика</vt:lpstr>
      <vt:lpstr>Кредит</vt:lpstr>
      <vt:lpstr>Отчёт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2026-09-28T08:18:33Z</dcterms:created>
  <dcterms:modified xsi:type="dcterms:W3CDTF">2026-09-28T08:21:31Z</dcterms:modified>
</cp:coreProperties>
</file>