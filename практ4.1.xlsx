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ownloads\"/>
    </mc:Choice>
  </mc:AlternateContent>
  <xr:revisionPtr revIDLastSave="0" documentId="13_ncr:1_{B753113E-07C0-41D2-9265-680EE5C66828}" xr6:coauthVersionLast="47" xr6:coauthVersionMax="47" xr10:uidLastSave="{00000000-0000-0000-0000-000000000000}"/>
  <bookViews>
    <workbookView xWindow="6135" yWindow="4620" windowWidth="21600" windowHeight="10860" xr2:uid="{5623371E-F8CB-40A3-9C40-EF581C6A33A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F7" i="2"/>
  <c r="G3" i="2"/>
  <c r="G4" i="2"/>
  <c r="G5" i="2"/>
  <c r="G2" i="2"/>
  <c r="F3" i="2"/>
  <c r="F4" i="2"/>
  <c r="F5" i="2"/>
  <c r="F2" i="2"/>
  <c r="E3" i="2"/>
  <c r="E4" i="2"/>
  <c r="E5" i="2"/>
  <c r="E2" i="2"/>
  <c r="B11" i="1"/>
  <c r="B10" i="1"/>
  <c r="B9" i="1"/>
  <c r="F7" i="1"/>
  <c r="E7" i="1"/>
  <c r="D7" i="1"/>
  <c r="E3" i="1"/>
  <c r="E4" i="1"/>
  <c r="E5" i="1"/>
  <c r="E6" i="1"/>
  <c r="E2" i="1"/>
  <c r="D2" i="1"/>
  <c r="D3" i="1"/>
  <c r="D4" i="1"/>
  <c r="D5" i="1"/>
  <c r="D6" i="1"/>
  <c r="F3" i="1" l="1"/>
  <c r="F2" i="1"/>
  <c r="F6" i="1"/>
  <c r="F5" i="1"/>
  <c r="F4" i="1"/>
</calcChain>
</file>

<file path=xl/sharedStrings.xml><?xml version="1.0" encoding="utf-8"?>
<sst xmlns="http://schemas.openxmlformats.org/spreadsheetml/2006/main" count="29" uniqueCount="28">
  <si>
    <t>ФИО сотрудника</t>
  </si>
  <si>
    <t>Оклад (руб.)</t>
  </si>
  <si>
    <t>Премия (%)</t>
  </si>
  <si>
    <t>Премия (руб.)</t>
  </si>
  <si>
    <t>К выдаче</t>
  </si>
  <si>
    <t>НДФЛ</t>
  </si>
  <si>
    <t>Иванов И.И.</t>
  </si>
  <si>
    <t>Петров П.П.</t>
  </si>
  <si>
    <t>Сидоров С.С.</t>
  </si>
  <si>
    <t>Кузнецова К.К.</t>
  </si>
  <si>
    <t>Смирнов С.С.</t>
  </si>
  <si>
    <t>Ставка НДФЛ</t>
  </si>
  <si>
    <t>ИТОГО</t>
  </si>
  <si>
    <t>Средняя зарплата</t>
  </si>
  <si>
    <t>Минимум</t>
  </si>
  <si>
    <t>Максимум</t>
  </si>
  <si>
    <t>Товар</t>
  </si>
  <si>
    <t>Цена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</si>
  <si>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</si>
  <si>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</si>
  <si>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</si>
  <si>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</si>
  <si>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</si>
  <si>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</si>
  <si>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</si>
  <si>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</si>
  <si>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Ставка НДС.</t>
  </si>
  <si>
    <t>НДС 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</si>
</sst>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40CF-DC07-4D8C-98A7-E665AADA69B8}">
  <dimension ref="A1:H11"/>
  <sheetViews>
    <sheetView tabSelected="1" workbookViewId="0">
      <selection activeCell="D10" sqref="D10"/>
    </sheetView>
  </sheetViews>
  <sheetFormatPr defaultRowHeight="15" x14ac:dyDescent="0.25"/>
  <cols>
    <col min="1" max="1" width="17.42578125" customWidth="1"/>
    <col min="2" max="2" width="12.140625" customWidth="1"/>
    <col min="3" max="3" width="12.7109375" customWidth="1"/>
    <col min="4" max="4" width="14.28515625" customWidth="1"/>
    <col min="8" max="8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H1" t="s">
        <v>11</v>
      </c>
    </row>
    <row r="2" spans="1:8" x14ac:dyDescent="0.25">
      <c r="A2" t="s">
        <v>6</v>
      </c>
      <c r="B2">
        <v>50000</v>
      </c>
      <c r="C2">
        <v>20</v>
      </c>
      <c r="D2">
        <f>B2*C2/100</f>
        <v>10000</v>
      </c>
      <c r="E2">
        <f>(B2+D2)*$H$2</f>
        <v>9000</v>
      </c>
      <c r="F2">
        <f>B2+D2-E2</f>
        <v>51000</v>
      </c>
      <c r="H2" s="2">
        <v>0.15</v>
      </c>
    </row>
    <row r="3" spans="1:8" x14ac:dyDescent="0.25">
      <c r="A3" t="s">
        <v>7</v>
      </c>
      <c r="B3">
        <v>45000</v>
      </c>
      <c r="C3">
        <v>15</v>
      </c>
      <c r="D3">
        <f t="shared" ref="D3:D6" si="0">B3*C3/100</f>
        <v>6750</v>
      </c>
      <c r="E3">
        <f t="shared" ref="E3:E6" si="1">(B3+D3)*$H$2</f>
        <v>7762.5</v>
      </c>
      <c r="F3">
        <f t="shared" ref="F3:F6" si="2">B3+D3-E3</f>
        <v>43987.5</v>
      </c>
    </row>
    <row r="4" spans="1:8" x14ac:dyDescent="0.25">
      <c r="A4" t="s">
        <v>8</v>
      </c>
      <c r="B4">
        <v>62000</v>
      </c>
      <c r="C4">
        <v>25</v>
      </c>
      <c r="D4">
        <f t="shared" si="0"/>
        <v>15500</v>
      </c>
      <c r="E4">
        <f t="shared" si="1"/>
        <v>11625</v>
      </c>
      <c r="F4">
        <f t="shared" si="2"/>
        <v>65875</v>
      </c>
    </row>
    <row r="5" spans="1:8" x14ac:dyDescent="0.25">
      <c r="A5" t="s">
        <v>9</v>
      </c>
      <c r="B5">
        <v>55000</v>
      </c>
      <c r="C5">
        <v>10</v>
      </c>
      <c r="D5">
        <f t="shared" si="0"/>
        <v>5500</v>
      </c>
      <c r="E5">
        <f t="shared" si="1"/>
        <v>9075</v>
      </c>
      <c r="F5">
        <f t="shared" si="2"/>
        <v>51425</v>
      </c>
    </row>
    <row r="6" spans="1:8" x14ac:dyDescent="0.25">
      <c r="A6" t="s">
        <v>10</v>
      </c>
      <c r="B6">
        <v>40000</v>
      </c>
      <c r="C6">
        <v>30</v>
      </c>
      <c r="D6">
        <f t="shared" si="0"/>
        <v>12000</v>
      </c>
      <c r="E6">
        <f t="shared" si="1"/>
        <v>7800</v>
      </c>
      <c r="F6">
        <f t="shared" si="2"/>
        <v>44200</v>
      </c>
    </row>
    <row r="7" spans="1:8" x14ac:dyDescent="0.25">
      <c r="A7" s="1" t="s">
        <v>12</v>
      </c>
      <c r="B7">
        <f>SUM(B2:B6)</f>
        <v>252000</v>
      </c>
      <c r="D7">
        <f>SUM(D2:D6)</f>
        <v>49750</v>
      </c>
      <c r="E7">
        <f>SUM(E2:E6)</f>
        <v>45262.5</v>
      </c>
      <c r="F7">
        <f>SUM(F2:F6)</f>
        <v>256487.5</v>
      </c>
    </row>
    <row r="9" spans="1:8" x14ac:dyDescent="0.25">
      <c r="A9" t="s">
        <v>13</v>
      </c>
      <c r="B9">
        <f>AVERAGE(F2:F6)</f>
        <v>51297.5</v>
      </c>
    </row>
    <row r="10" spans="1:8" x14ac:dyDescent="0.25">
      <c r="A10" t="s">
        <v>15</v>
      </c>
      <c r="B10">
        <f>MAX(F2:F6)</f>
        <v>65875</v>
      </c>
    </row>
    <row r="11" spans="1:8" x14ac:dyDescent="0.25">
      <c r="A11" t="s">
        <v>14</v>
      </c>
      <c r="B11">
        <f>MIN(F2:F6)</f>
        <v>43987.5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65C4-4132-4FF4-9A16-45B99EB7F8BE}">
  <dimension ref="A1:H7"/>
  <sheetViews>
    <sheetView workbookViewId="0">
      <selection activeCell="F8" sqref="F8"/>
    </sheetView>
  </sheetViews>
  <sheetFormatPr defaultRowHeight="15" x14ac:dyDescent="0.25"/>
  <cols>
    <col min="1" max="1" width="11" customWidth="1"/>
    <col min="5" max="5" width="11.42578125" customWidth="1"/>
    <col min="6" max="6" width="16" customWidth="1"/>
    <col min="8" max="8" width="12.28515625" customWidth="1"/>
  </cols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27</v>
      </c>
      <c r="H1" t="s">
        <v>26</v>
      </c>
    </row>
    <row r="2" spans="1:8" x14ac:dyDescent="0.25">
      <c r="A2" t="s">
        <v>22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E2*$H$2</f>
        <v>45000</v>
      </c>
      <c r="H2" s="2">
        <v>0.2</v>
      </c>
    </row>
    <row r="3" spans="1:8" x14ac:dyDescent="0.25">
      <c r="A3" t="s">
        <v>23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E3*$H$2</f>
        <v>36000</v>
      </c>
    </row>
    <row r="4" spans="1:8" x14ac:dyDescent="0.25">
      <c r="A4" t="s">
        <v>24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8" x14ac:dyDescent="0.25">
      <c r="A5" t="s">
        <v>25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7" spans="1:8" x14ac:dyDescent="0.25">
      <c r="A7" s="1" t="s">
        <v>12</v>
      </c>
      <c r="F7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AAAAdd KAJSD</dc:creator>
  <cp:lastModifiedBy>AAAAdd KAJSD</cp:lastModifiedBy>
  <dcterms:created xsi:type="dcterms:W3CDTF">2026-09-21T11:03:19Z</dcterms:created>
  <dcterms:modified xsi:type="dcterms:W3CDTF">2026-09-21T11:28:40Z</dcterms:modified>
</cp:coreProperties>
</file>